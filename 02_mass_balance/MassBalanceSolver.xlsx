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d405930f244894/Documents/MAIN/Repositories/chem-eng-coding-practice-main/chem-eng-coding-practice-main/02_mass_balance/"/>
    </mc:Choice>
  </mc:AlternateContent>
  <xr:revisionPtr revIDLastSave="0" documentId="8_{6CDF7848-3497-4DB3-8FF5-120614253CB0}" xr6:coauthVersionLast="47" xr6:coauthVersionMax="47" xr10:uidLastSave="{00000000-0000-0000-0000-000000000000}"/>
  <bookViews>
    <workbookView xWindow="-110" yWindow="-110" windowWidth="19420" windowHeight="11500" xr2:uid="{3AAA6997-29E7-47F2-9CB2-BD788BFB2F56}"/>
  </bookViews>
  <sheets>
    <sheet name="Mass Balance" sheetId="1" r:id="rId1"/>
    <sheet name="Inputs" sheetId="2" r:id="rId2"/>
  </sheets>
  <definedNames>
    <definedName name="A">'Mass Balance'!$C$7:$E$9</definedName>
    <definedName name="A_Inverse">'Mass Balance'!$D$17:$F$19</definedName>
    <definedName name="A_Matrix">'Mass Balance'!$C$7:$E$9</definedName>
    <definedName name="b_matrix">'Mass Balance'!$H$7:$H$9</definedName>
    <definedName name="F1_Eth">Inputs!$D$5</definedName>
    <definedName name="F1_Flow">Inputs!$D$4</definedName>
    <definedName name="F1_Water">Inputs!$D$6</definedName>
    <definedName name="F2_Eth">Inputs!$E$5</definedName>
    <definedName name="F2_Flow">Inputs!$E$4</definedName>
    <definedName name="F2_Water">Inputs!$E$6</definedName>
    <definedName name="F3_Flow">Inputs!$F$4</definedName>
    <definedName name="F4_Eth">Inputs!$G$5</definedName>
    <definedName name="F4_Water">Inputs!$G$6</definedName>
    <definedName name="F5_Eth">Inputs!$H$5</definedName>
    <definedName name="F5_Water">Inputs!$H$6</definedName>
    <definedName name="Validation">'Mass Balance'!$D$26:$D$28</definedName>
    <definedName name="x_matrix">'Mass Balance'!$D$21:$D$23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6" i="1" l="1" a="1"/>
  <c r="D21" i="1" a="1"/>
  <c r="D17" i="1" a="1"/>
  <c r="H8" i="1"/>
  <c r="E9" i="1"/>
  <c r="D9" i="1"/>
  <c r="C9" i="1"/>
  <c r="C7" i="1"/>
  <c r="H7" i="1"/>
  <c r="F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<sst xmlns="http://schemas.openxmlformats.org/spreadsheetml/2006/main" count="33" uniqueCount="32">
  <si>
    <t>Mass Balance Solver</t>
  </si>
  <si>
    <t>A</t>
  </si>
  <si>
    <t>Equation 1</t>
  </si>
  <si>
    <t>Equation 2</t>
  </si>
  <si>
    <t>Equation 3</t>
  </si>
  <si>
    <t>x_3_eth</t>
  </si>
  <si>
    <t>x_4_flow</t>
  </si>
  <si>
    <t>x_5_flow</t>
  </si>
  <si>
    <t xml:space="preserve"> b</t>
  </si>
  <si>
    <t>Stream</t>
  </si>
  <si>
    <t>F1</t>
  </si>
  <si>
    <t>F2</t>
  </si>
  <si>
    <t>F3</t>
  </si>
  <si>
    <t>F4</t>
  </si>
  <si>
    <t>F5</t>
  </si>
  <si>
    <t>Ethanol fract</t>
  </si>
  <si>
    <t>Water fract</t>
  </si>
  <si>
    <t xml:space="preserve">Flow rate </t>
  </si>
  <si>
    <t>Units</t>
  </si>
  <si>
    <t>kg/h</t>
  </si>
  <si>
    <t>kg/kg</t>
  </si>
  <si>
    <t>Given in problem question</t>
  </si>
  <si>
    <t>Calculated values</t>
  </si>
  <si>
    <t>Equation:</t>
  </si>
  <si>
    <t>Ax = b</t>
  </si>
  <si>
    <t>For x:</t>
  </si>
  <si>
    <r>
      <t>x = A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b</t>
    </r>
  </si>
  <si>
    <t>Calculate inverse of A:</t>
  </si>
  <si>
    <t>Calculate x:</t>
  </si>
  <si>
    <t>Validation:</t>
  </si>
  <si>
    <t>A @ x - b is reasonably close to zero, so calculations work.</t>
  </si>
  <si>
    <t>Therefore, the python calculation is validated.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</si>
</sst>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0" fillId="2" borderId="4" xfId="0" applyFill="1" applyBorder="1"/>
    <xf numFmtId="0" fontId="0" fillId="2" borderId="0" xfId="0" applyFill="1" applyBorder="1"/>
    <xf numFmtId="0" fontId="0" fillId="0" borderId="5" xfId="0" applyBorder="1"/>
    <xf numFmtId="0" fontId="0" fillId="2" borderId="5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0" xfId="0" applyFill="1" applyBorder="1"/>
    <xf numFmtId="0" fontId="0" fillId="3" borderId="5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16DC-D458-4862-8192-F578A95EB342}">
  <dimension ref="A1:H31"/>
  <sheetViews>
    <sheetView tabSelected="1" topLeftCell="A10" workbookViewId="0">
      <selection activeCell="B31" sqref="B31"/>
    </sheetView>
  </sheetViews>
  <sheetFormatPr defaultRowHeight="14.5" x14ac:dyDescent="0.35"/>
  <cols>
    <col min="2" max="2" width="9.26953125" bestFit="1" customWidth="1"/>
    <col min="3" max="3" width="18.26953125" customWidth="1"/>
    <col min="4" max="4" width="19.7265625" customWidth="1"/>
    <col min="5" max="5" width="16.26953125" customWidth="1"/>
    <col min="8" max="8" width="14.90625" customWidth="1"/>
  </cols>
  <sheetData>
    <row r="1" spans="1:8" x14ac:dyDescent="0.35">
      <c r="A1" t="s">
        <v>0</v>
      </c>
    </row>
    <row r="5" spans="1:8" x14ac:dyDescent="0.35">
      <c r="B5" s="2" t="s">
        <v>1</v>
      </c>
      <c r="G5" s="2" t="s">
        <v>8</v>
      </c>
    </row>
    <row r="6" spans="1:8" x14ac:dyDescent="0.35">
      <c r="C6" t="s">
        <v>5</v>
      </c>
      <c r="D6" t="s">
        <v>6</v>
      </c>
      <c r="E6" t="s">
        <v>7</v>
      </c>
    </row>
    <row r="7" spans="1:8" x14ac:dyDescent="0.35">
      <c r="B7" t="s">
        <v>2</v>
      </c>
      <c r="C7" s="1">
        <f>F3_Flow</f>
        <v>150</v>
      </c>
      <c r="D7" s="1">
        <v>0</v>
      </c>
      <c r="E7" s="1">
        <v>0</v>
      </c>
      <c r="H7" s="1">
        <f>(F1_Flow*F1_Eth)+(F2_Flow*F2_Eth)</f>
        <v>50</v>
      </c>
    </row>
    <row r="8" spans="1:8" x14ac:dyDescent="0.35">
      <c r="B8" t="s">
        <v>3</v>
      </c>
      <c r="C8" s="1">
        <v>0</v>
      </c>
      <c r="D8" s="1">
        <v>1</v>
      </c>
      <c r="E8" s="1">
        <v>1</v>
      </c>
      <c r="H8" s="1">
        <f>F3_Flow</f>
        <v>150</v>
      </c>
    </row>
    <row r="9" spans="1:8" x14ac:dyDescent="0.35">
      <c r="B9" t="s">
        <v>4</v>
      </c>
      <c r="C9" s="1">
        <f>-F3_Flow</f>
        <v>-150</v>
      </c>
      <c r="D9" s="1">
        <f>F4_Eth</f>
        <v>0.8</v>
      </c>
      <c r="E9" s="1">
        <f>F5_Eth</f>
        <v>0.05</v>
      </c>
      <c r="H9" s="1">
        <v>0</v>
      </c>
    </row>
    <row r="13" spans="1:8" x14ac:dyDescent="0.35">
      <c r="B13" t="s">
        <v>23</v>
      </c>
      <c r="C13" t="s">
        <v>24</v>
      </c>
    </row>
    <row r="15" spans="1:8" ht="16.5" x14ac:dyDescent="0.35">
      <c r="B15" t="s">
        <v>25</v>
      </c>
      <c r="C15" t="s">
        <v>26</v>
      </c>
    </row>
    <row r="17" spans="2:6" x14ac:dyDescent="0.35">
      <c r="B17" s="23" t="s">
        <v>27</v>
      </c>
      <c r="C17" s="23"/>
      <c r="D17" s="1" cm="1">
        <f t="array" ref="D17:F19">MINVERSE(A)</f>
        <v>6.6666666666666671E-3</v>
      </c>
      <c r="E17" s="1">
        <v>0</v>
      </c>
      <c r="F17" s="1">
        <v>0</v>
      </c>
    </row>
    <row r="18" spans="2:6" x14ac:dyDescent="0.35">
      <c r="D18" s="1">
        <v>1.3333333333333333</v>
      </c>
      <c r="E18" s="1">
        <v>-6.6666666666666652E-2</v>
      </c>
      <c r="F18" s="1">
        <v>1.3333333333333333</v>
      </c>
    </row>
    <row r="19" spans="2:6" x14ac:dyDescent="0.35">
      <c r="D19" s="1">
        <v>-1.3333333333333333</v>
      </c>
      <c r="E19" s="1">
        <v>1.0666666666666667</v>
      </c>
      <c r="F19" s="1">
        <v>-1.3333333333333333</v>
      </c>
    </row>
    <row r="21" spans="2:6" x14ac:dyDescent="0.35">
      <c r="B21" s="23" t="s">
        <v>28</v>
      </c>
      <c r="C21" s="23"/>
      <c r="D21" s="1" cm="1">
        <f t="array" ref="D21:D23">MMULT(A_Inverse, b_matrix)</f>
        <v>0.33333333333333337</v>
      </c>
    </row>
    <row r="22" spans="2:6" x14ac:dyDescent="0.35">
      <c r="D22" s="1">
        <v>56.666666666666657</v>
      </c>
    </row>
    <row r="23" spans="2:6" x14ac:dyDescent="0.35">
      <c r="D23" s="1">
        <v>93.333333333333343</v>
      </c>
    </row>
    <row r="26" spans="2:6" x14ac:dyDescent="0.35">
      <c r="B26" t="s">
        <v>29</v>
      </c>
      <c r="D26" s="1" cm="1">
        <f t="array" ref="D26:D28">MMULT(A_Matrix, x_matrix) - b_matrix</f>
        <v>0</v>
      </c>
    </row>
    <row r="27" spans="2:6" x14ac:dyDescent="0.35">
      <c r="D27" s="1">
        <v>0</v>
      </c>
    </row>
    <row r="28" spans="2:6" x14ac:dyDescent="0.35">
      <c r="D28" s="1">
        <v>-1.1546319456101628E-14</v>
      </c>
    </row>
    <row r="30" spans="2:6" x14ac:dyDescent="0.35">
      <c r="B30" t="s">
        <v>30</v>
      </c>
    </row>
    <row r="31" spans="2:6" x14ac:dyDescent="0.35">
      <c r="B31" t="s">
        <v>31</v>
      </c>
    </row>
  </sheetData>
  <mergeCells count="2">
    <mergeCell ref="B17:C17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2899-C9A8-4438-9C02-7E37D5A7158A}">
  <dimension ref="B1:L6"/>
  <sheetViews>
    <sheetView workbookViewId="0">
      <selection activeCell="H7" sqref="H7"/>
    </sheetView>
  </sheetViews>
  <sheetFormatPr defaultRowHeight="14.5" x14ac:dyDescent="0.35"/>
  <cols>
    <col min="1" max="2" width="13.453125" bestFit="1" customWidth="1"/>
    <col min="3" max="3" width="13.453125" customWidth="1"/>
  </cols>
  <sheetData>
    <row r="1" spans="2:12" ht="15" thickBot="1" x14ac:dyDescent="0.4"/>
    <row r="2" spans="2:12" x14ac:dyDescent="0.35">
      <c r="B2" s="8"/>
      <c r="C2" s="15" t="s">
        <v>9</v>
      </c>
      <c r="D2" s="14"/>
      <c r="E2" s="14"/>
      <c r="F2" s="14"/>
      <c r="G2" s="14"/>
      <c r="H2" s="16"/>
      <c r="J2" s="21" t="s">
        <v>21</v>
      </c>
      <c r="K2" s="21"/>
      <c r="L2" s="21"/>
    </row>
    <row r="3" spans="2:12" x14ac:dyDescent="0.35">
      <c r="B3" s="11"/>
      <c r="C3" s="12" t="s">
        <v>18</v>
      </c>
      <c r="D3" s="12" t="s">
        <v>10</v>
      </c>
      <c r="E3" s="12" t="s">
        <v>11</v>
      </c>
      <c r="F3" s="12" t="s">
        <v>12</v>
      </c>
      <c r="G3" s="12" t="s">
        <v>13</v>
      </c>
      <c r="H3" s="13" t="s">
        <v>14</v>
      </c>
      <c r="J3" s="22" t="s">
        <v>22</v>
      </c>
      <c r="K3" s="22"/>
      <c r="L3" s="22"/>
    </row>
    <row r="4" spans="2:12" x14ac:dyDescent="0.35">
      <c r="B4" s="9" t="s">
        <v>17</v>
      </c>
      <c r="C4" s="3" t="s">
        <v>19</v>
      </c>
      <c r="D4" s="17">
        <v>100</v>
      </c>
      <c r="E4" s="17">
        <v>50</v>
      </c>
      <c r="F4" s="5">
        <f>D4+E4</f>
        <v>150</v>
      </c>
      <c r="G4" s="3"/>
      <c r="H4" s="4"/>
    </row>
    <row r="5" spans="2:12" x14ac:dyDescent="0.35">
      <c r="B5" s="9" t="s">
        <v>15</v>
      </c>
      <c r="C5" s="3" t="s">
        <v>20</v>
      </c>
      <c r="D5" s="17">
        <v>0.2</v>
      </c>
      <c r="E5" s="17">
        <v>0.6</v>
      </c>
      <c r="F5" s="5"/>
      <c r="G5" s="17">
        <v>0.8</v>
      </c>
      <c r="H5" s="19">
        <v>0.05</v>
      </c>
    </row>
    <row r="6" spans="2:12" ht="15" thickBot="1" x14ac:dyDescent="0.4">
      <c r="B6" s="10" t="s">
        <v>16</v>
      </c>
      <c r="C6" s="6" t="s">
        <v>20</v>
      </c>
      <c r="D6" s="18">
        <v>0.8</v>
      </c>
      <c r="E6" s="18">
        <v>0.4</v>
      </c>
      <c r="F6" s="7"/>
      <c r="G6" s="18">
        <v>0.2</v>
      </c>
      <c r="H6" s="20">
        <v>0.95</v>
      </c>
    </row>
  </sheetData>
  <mergeCells count="3">
    <mergeCell ref="C2:H2"/>
    <mergeCell ref="J2:L2"/>
    <mergeCell ref="J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Mass Balance</vt:lpstr>
      <vt:lpstr>Inputs</vt:lpstr>
      <vt:lpstr>A</vt:lpstr>
      <vt:lpstr>A_Inverse</vt:lpstr>
      <vt:lpstr>A_Matrix</vt:lpstr>
      <vt:lpstr>b_matrix</vt:lpstr>
      <vt:lpstr>F1_Eth</vt:lpstr>
      <vt:lpstr>F1_Flow</vt:lpstr>
      <vt:lpstr>F1_Water</vt:lpstr>
      <vt:lpstr>F2_Eth</vt:lpstr>
      <vt:lpstr>F2_Flow</vt:lpstr>
      <vt:lpstr>F2_Water</vt:lpstr>
      <vt:lpstr>F3_Flow</vt:lpstr>
      <vt:lpstr>F4_Eth</vt:lpstr>
      <vt:lpstr>F4_Water</vt:lpstr>
      <vt:lpstr>F5_Eth</vt:lpstr>
      <vt:lpstr>F5_Water</vt:lpstr>
      <vt:lpstr>Validation</vt:lpstr>
      <vt:lpstr>x_matrix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Thomas [qvqq0737]</dc:creator>
  <cp:lastModifiedBy>Harrison Thomas [qvqq0737]</cp:lastModifiedBy>
  <dcterms:created xsi:type="dcterms:W3CDTF">2026-10-20T09:39:13Z</dcterms:created>
  <dcterms:modified xsi:type="dcterms:W3CDTF">2026-10-20T10:21:43Z</dcterms:modified>
</cp:coreProperties>
</file>